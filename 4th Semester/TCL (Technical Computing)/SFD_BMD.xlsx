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IP330s\Desktop\Mechatronics\4th Semester\TCL (Technical Computing)\"/>
    </mc:Choice>
  </mc:AlternateContent>
  <xr:revisionPtr revIDLastSave="0" documentId="13_ncr:1_{8C8D1B96-3931-40A1-BE4A-37030275A8CD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chart.v1.0" hidden="1">Sheet1!$G$32:$G$41</definedName>
    <definedName name="_xlchart.v1.1" hidden="1">Sheet1!$H$32:$H$41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33" i="1"/>
  <c r="E32" i="1"/>
  <c r="E31" i="1"/>
  <c r="E26" i="1"/>
  <c r="E25" i="1"/>
  <c r="G24" i="1"/>
  <c r="M22" i="1"/>
  <c r="I23" i="1" s="1"/>
  <c r="G23" i="1"/>
  <c r="K22" i="1"/>
  <c r="I22" i="1"/>
  <c r="G22" i="1"/>
</calcChain>
</file>

<file path=xl/sharedStrings.xml><?xml version="1.0" encoding="utf-8"?>
<sst xmlns="http://schemas.openxmlformats.org/spreadsheetml/2006/main" count="45" uniqueCount="25">
  <si>
    <t xml:space="preserve">QTY </t>
  </si>
  <si>
    <t>VALUE</t>
  </si>
  <si>
    <t>UNIT</t>
  </si>
  <si>
    <t>AB</t>
  </si>
  <si>
    <t>AC</t>
  </si>
  <si>
    <t>AD</t>
  </si>
  <si>
    <t>F1</t>
  </si>
  <si>
    <t>F2</t>
  </si>
  <si>
    <t>m</t>
  </si>
  <si>
    <t>KN</t>
  </si>
  <si>
    <t xml:space="preserve">R_A </t>
  </si>
  <si>
    <t>+</t>
  </si>
  <si>
    <t>R_B</t>
  </si>
  <si>
    <t>=</t>
  </si>
  <si>
    <t>F1+F2</t>
  </si>
  <si>
    <t>Taking moment of the forces about A,</t>
  </si>
  <si>
    <t>x</t>
  </si>
  <si>
    <t>R_A</t>
  </si>
  <si>
    <t>SF Calculation</t>
  </si>
  <si>
    <t>S_AR</t>
  </si>
  <si>
    <t>S_CR</t>
  </si>
  <si>
    <t>S_DR</t>
  </si>
  <si>
    <t>S_BR</t>
  </si>
  <si>
    <r>
      <rPr>
        <sz val="11.5"/>
        <rFont val="Times New Roman"/>
        <family val="1"/>
      </rPr>
      <t>BEAM LENGTH</t>
    </r>
  </si>
  <si>
    <r>
      <rPr>
        <sz val="11.5"/>
        <rFont val="Times New Roman"/>
        <family val="1"/>
      </rPr>
      <t>SF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</si>
</sst>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/>
    <xf numFmtId="0" fontId="1" fillId="0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Sheet1!$G$32:$G$41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</c:numCache>
            </c:numRef>
          </c:xVal>
          <c:yVal>
            <c:numRef>
              <c:f>Sheet1!$H$32:$H$41</c:f>
              <c:numCache>
                <c:formatCode>0.</c:formatCode>
                <c:ptCount val="10"/>
                <c:pt idx="0" formatCode="0">
                  <c:v>0</c:v>
                </c:pt>
                <c:pt idx="1">
                  <c:v>9.75</c:v>
                </c:pt>
                <c:pt idx="2">
                  <c:v>9.75</c:v>
                </c:pt>
                <c:pt idx="3">
                  <c:v>4.75</c:v>
                </c:pt>
                <c:pt idx="4">
                  <c:v>4.75</c:v>
                </c:pt>
                <c:pt idx="5">
                  <c:v>-5.25</c:v>
                </c:pt>
                <c:pt idx="6">
                  <c:v>-5.25</c:v>
                </c:pt>
                <c:pt idx="7">
                  <c:v>-13.25</c:v>
                </c:pt>
                <c:pt idx="8">
                  <c:v>-13.25</c:v>
                </c:pt>
                <c:pt idx="9" formatCode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6-4155-BC67-E505A2D4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138104"/>
        <c:axId val="586136824"/>
      </c:scatterChart>
      <c:valAx>
        <c:axId val="58613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36824"/>
        <c:crosses val="autoZero"/>
        <c:crossBetween val="midCat"/>
      </c:valAx>
      <c:valAx>
        <c:axId val="58613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38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449581</xdr:colOff>
      <xdr:row>2</xdr:row>
      <xdr:rowOff>7620</xdr:rowOff>
    </xdr:from>
    <xdr:to>
      <xdr:col>7</xdr:col>
      <xdr:colOff>30481</xdr:colOff>
      <xdr:row>7</xdr:row>
      <xdr:rowOff>96217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CAF6B-482A-4928-AD9D-879063A37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1" y="373380"/>
          <a:ext cx="3848100" cy="1002997"/>
        </a:xfrm>
        <a:prstGeom prst="rect">
          <a:avLst/>
        </a:prstGeom>
      </xdr:spPr>
    </xdr:pic>
    <xdr:clientData/>
  </xdr:twoCellAnchor>
  <xdr:twoCellAnchor>
    <xdr:from>
      <xdr:col>9</xdr:col>
      <xdr:colOff>579120</xdr:colOff>
      <xdr:row>24</xdr:row>
      <xdr:rowOff>95250</xdr:rowOff>
    </xdr:from>
    <xdr:to>
      <xdr:col>17</xdr:col>
      <xdr:colOff>274320</xdr:colOff>
      <xdr:row>37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2315D5-F1EC-456C-A348-7BE6DFE62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M41"/>
  <sheetViews>
    <sheetView tabSelected="1" topLeftCell="A32" workbookViewId="0">
      <selection activeCell="T29" sqref="T29"/>
    </sheetView>
  </sheetViews>
  <sheetFormatPr defaultRowHeight="14.4" x14ac:dyDescent="0.3"/>
  <sheetData>
    <row r="9" spans="3:5" ht="15" thickBot="1" x14ac:dyDescent="0.35"/>
    <row r="10" spans="3:5" ht="15" thickBot="1" x14ac:dyDescent="0.35">
      <c r="C10" s="7" t="s">
        <v>0</v>
      </c>
      <c r="D10" s="8" t="s">
        <v>1</v>
      </c>
      <c r="E10" s="9" t="s">
        <v>2</v>
      </c>
    </row>
    <row r="11" spans="3:5" x14ac:dyDescent="0.3">
      <c r="C11" s="2" t="s">
        <v>3</v>
      </c>
      <c r="D11" s="1">
        <v>6</v>
      </c>
      <c r="E11" s="3" t="s">
        <v>8</v>
      </c>
    </row>
    <row r="12" spans="3:5" x14ac:dyDescent="0.3">
      <c r="C12" s="2" t="s">
        <v>4</v>
      </c>
      <c r="D12" s="1">
        <v>2</v>
      </c>
      <c r="E12" s="3" t="s">
        <v>8</v>
      </c>
    </row>
    <row r="13" spans="3:5" x14ac:dyDescent="0.3">
      <c r="C13" s="2" t="s">
        <v>5</v>
      </c>
      <c r="D13" s="1">
        <v>4</v>
      </c>
      <c r="E13" s="3" t="s">
        <v>8</v>
      </c>
    </row>
    <row r="14" spans="3:5" x14ac:dyDescent="0.3">
      <c r="C14" s="2" t="s">
        <v>6</v>
      </c>
      <c r="D14" s="1">
        <v>40</v>
      </c>
      <c r="E14" s="3" t="s">
        <v>9</v>
      </c>
    </row>
    <row r="15" spans="3:5" ht="15" thickBot="1" x14ac:dyDescent="0.35">
      <c r="C15" s="4" t="s">
        <v>7</v>
      </c>
      <c r="D15" s="5">
        <v>60</v>
      </c>
      <c r="E15" s="6" t="s">
        <v>9</v>
      </c>
    </row>
    <row r="18" spans="3:13" ht="15" thickBot="1" x14ac:dyDescent="0.35"/>
    <row r="19" spans="3:13" ht="15" thickBot="1" x14ac:dyDescent="0.35">
      <c r="C19" s="7" t="s">
        <v>10</v>
      </c>
      <c r="D19" s="8" t="s">
        <v>11</v>
      </c>
      <c r="E19" s="8" t="s">
        <v>12</v>
      </c>
      <c r="F19" s="8" t="s">
        <v>13</v>
      </c>
      <c r="G19" s="8" t="s">
        <v>14</v>
      </c>
      <c r="H19" s="8" t="s">
        <v>13</v>
      </c>
      <c r="I19" s="8">
        <v>100</v>
      </c>
      <c r="J19" s="19" t="s">
        <v>9</v>
      </c>
    </row>
    <row r="21" spans="3:13" ht="15" thickBot="1" x14ac:dyDescent="0.35">
      <c r="C21" t="s">
        <v>15</v>
      </c>
    </row>
    <row r="22" spans="3:13" x14ac:dyDescent="0.3">
      <c r="C22" s="10" t="s">
        <v>12</v>
      </c>
      <c r="D22" s="11" t="s">
        <v>16</v>
      </c>
      <c r="E22" s="11">
        <v>6</v>
      </c>
      <c r="F22" s="11" t="s">
        <v>13</v>
      </c>
      <c r="G22" s="11">
        <f>D14</f>
        <v>40</v>
      </c>
      <c r="H22" s="11" t="s">
        <v>16</v>
      </c>
      <c r="I22" s="11">
        <f>D12</f>
        <v>2</v>
      </c>
      <c r="J22" s="11" t="s">
        <v>11</v>
      </c>
      <c r="K22" s="11">
        <f>D15</f>
        <v>60</v>
      </c>
      <c r="L22" s="11" t="s">
        <v>16</v>
      </c>
      <c r="M22" s="12">
        <f>D13</f>
        <v>4</v>
      </c>
    </row>
    <row r="23" spans="3:13" x14ac:dyDescent="0.3">
      <c r="C23" s="13"/>
      <c r="D23" s="14"/>
      <c r="E23" s="14"/>
      <c r="F23" s="14" t="s">
        <v>13</v>
      </c>
      <c r="G23" s="14">
        <f>G22*I22</f>
        <v>80</v>
      </c>
      <c r="H23" s="14" t="s">
        <v>11</v>
      </c>
      <c r="I23" s="14">
        <f>K22*M22</f>
        <v>240</v>
      </c>
      <c r="J23" s="14"/>
      <c r="K23" s="14"/>
      <c r="L23" s="14"/>
      <c r="M23" s="15"/>
    </row>
    <row r="24" spans="3:13" ht="15" thickBot="1" x14ac:dyDescent="0.35">
      <c r="C24" s="16"/>
      <c r="D24" s="17"/>
      <c r="E24" s="17"/>
      <c r="F24" s="17" t="s">
        <v>13</v>
      </c>
      <c r="G24" s="17">
        <f>G23+I23</f>
        <v>320</v>
      </c>
      <c r="H24" s="17"/>
      <c r="I24" s="17"/>
      <c r="J24" s="17"/>
      <c r="K24" s="17"/>
      <c r="L24" s="17"/>
      <c r="M24" s="18"/>
    </row>
    <row r="25" spans="3:13" x14ac:dyDescent="0.3">
      <c r="C25" s="10" t="s">
        <v>12</v>
      </c>
      <c r="D25" s="11" t="s">
        <v>13</v>
      </c>
      <c r="E25" s="12">
        <f>G24/E22</f>
        <v>53.333333333333336</v>
      </c>
    </row>
    <row r="26" spans="3:13" ht="15" thickBot="1" x14ac:dyDescent="0.35">
      <c r="C26" s="21" t="s">
        <v>17</v>
      </c>
      <c r="D26" s="17" t="s">
        <v>13</v>
      </c>
      <c r="E26" s="18">
        <f>I19-E25</f>
        <v>46.666666666666664</v>
      </c>
    </row>
    <row r="29" spans="3:13" x14ac:dyDescent="0.3">
      <c r="C29" s="20" t="s">
        <v>18</v>
      </c>
    </row>
    <row r="30" spans="3:13" ht="15" thickBot="1" x14ac:dyDescent="0.35"/>
    <row r="31" spans="3:13" ht="45" x14ac:dyDescent="0.3">
      <c r="C31" s="10" t="s">
        <v>19</v>
      </c>
      <c r="D31" s="11" t="s">
        <v>13</v>
      </c>
      <c r="E31" s="12">
        <f>E25</f>
        <v>53.333333333333336</v>
      </c>
      <c r="G31" s="22" t="s">
        <v>23</v>
      </c>
      <c r="H31" s="22" t="s">
        <v>24</v>
      </c>
    </row>
    <row r="32" spans="3:13" ht="15" x14ac:dyDescent="0.3">
      <c r="C32" s="13" t="s">
        <v>20</v>
      </c>
      <c r="D32" s="14" t="s">
        <v>13</v>
      </c>
      <c r="E32" s="15">
        <f>E25-D14</f>
        <v>13.333333333333336</v>
      </c>
      <c r="G32" s="23">
        <v>0</v>
      </c>
      <c r="H32" s="23">
        <v>0</v>
      </c>
    </row>
    <row r="33" spans="3:8" ht="15" x14ac:dyDescent="0.3">
      <c r="C33" s="13" t="s">
        <v>21</v>
      </c>
      <c r="D33" s="14" t="s">
        <v>13</v>
      </c>
      <c r="E33" s="15">
        <f>E25-D14-D15</f>
        <v>-46.666666666666664</v>
      </c>
      <c r="G33" s="23">
        <v>0</v>
      </c>
      <c r="H33" s="24">
        <v>9.75</v>
      </c>
    </row>
    <row r="34" spans="3:8" ht="15.6" thickBot="1" x14ac:dyDescent="0.35">
      <c r="C34" s="16" t="s">
        <v>22</v>
      </c>
      <c r="D34" s="17" t="s">
        <v>13</v>
      </c>
      <c r="E34" s="18">
        <f>E25+E26-D14-D15</f>
        <v>0</v>
      </c>
      <c r="G34" s="23">
        <v>2</v>
      </c>
      <c r="H34" s="24">
        <v>9.75</v>
      </c>
    </row>
    <row r="35" spans="3:8" ht="15" x14ac:dyDescent="0.3">
      <c r="G35" s="23">
        <v>2</v>
      </c>
      <c r="H35" s="24">
        <v>4.75</v>
      </c>
    </row>
    <row r="36" spans="3:8" ht="15" x14ac:dyDescent="0.3">
      <c r="G36" s="23">
        <v>4</v>
      </c>
      <c r="H36" s="24">
        <v>4.75</v>
      </c>
    </row>
    <row r="37" spans="3:8" ht="15" x14ac:dyDescent="0.3">
      <c r="G37" s="23">
        <v>4</v>
      </c>
      <c r="H37" s="24">
        <v>-5.25</v>
      </c>
    </row>
    <row r="38" spans="3:8" ht="15" x14ac:dyDescent="0.3">
      <c r="G38" s="23">
        <v>7</v>
      </c>
      <c r="H38" s="24">
        <v>-5.25</v>
      </c>
    </row>
    <row r="39" spans="3:8" ht="15" x14ac:dyDescent="0.3">
      <c r="G39" s="23">
        <v>7</v>
      </c>
      <c r="H39" s="24">
        <v>-13.25</v>
      </c>
    </row>
    <row r="40" spans="3:8" ht="15" x14ac:dyDescent="0.3">
      <c r="G40" s="23">
        <v>8</v>
      </c>
      <c r="H40" s="24">
        <v>-13.25</v>
      </c>
    </row>
    <row r="41" spans="3:8" ht="15" x14ac:dyDescent="0.3">
      <c r="G41" s="23">
        <v>8</v>
      </c>
      <c r="H41" s="23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SSPO .</dc:creator>
  <cp:lastModifiedBy>omkar gujja</cp:lastModifiedBy>
  <dcterms:created xsi:type="dcterms:W3CDTF">2015-06-05T18:17:20Z</dcterms:created>
  <dcterms:modified xsi:type="dcterms:W3CDTF">2021-02-23T10:47:58Z</dcterms:modified>
</cp:coreProperties>
</file>